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25E780A0-ADD7-4D07-A915-03F3BB0C64CC}" xr6:coauthVersionLast="47" xr6:coauthVersionMax="47" xr10:uidLastSave="{00000000-0000-0000-0000-000000000000}"/>
  <bookViews>
    <workbookView xWindow="-110" yWindow="-110" windowWidth="19420" windowHeight="10300" xr2:uid="{AB3F38CC-A4FE-4DA1-A297-19717BDAC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5" i="1"/>
  <c r="B22" i="1"/>
  <c r="B19" i="1"/>
  <c r="B16" i="1"/>
  <c r="B13" i="1"/>
  <c r="B10" i="1"/>
</calcChain>
</file>

<file path=xl/sharedStrings.xml><?xml version="1.0" encoding="utf-8"?>
<sst xmlns="http://schemas.openxmlformats.org/spreadsheetml/2006/main" count="22" uniqueCount="19">
  <si>
    <t>x</t>
  </si>
  <si>
    <t>f(x)</t>
  </si>
  <si>
    <t>Notasi</t>
  </si>
  <si>
    <t>f-1</t>
  </si>
  <si>
    <t>f0</t>
  </si>
  <si>
    <t>f1</t>
  </si>
  <si>
    <t>f2</t>
  </si>
  <si>
    <t>f3</t>
  </si>
  <si>
    <t>Metode</t>
  </si>
  <si>
    <t>Nilai Hampiran</t>
  </si>
  <si>
    <t>Selisih Maju O(h)</t>
  </si>
  <si>
    <t>Selisih Mundur O(h)</t>
  </si>
  <si>
    <t>Selisih Pusat O(h^2)</t>
  </si>
  <si>
    <t>Selisih Maju O(h^2)</t>
  </si>
  <si>
    <t>menghasilkan nilai hampiran yang berbeda. Perbedaan tersebut menunjukkan bahwa</t>
  </si>
  <si>
    <t>masing-masing metode memiliki karakteristik tersendiri dalam menghampiri nilai</t>
  </si>
  <si>
    <t>turunan fungsi, sehingga pemilihan metode perlu disesuaikan dengan kebutuhan dan</t>
  </si>
  <si>
    <t>bentuk permasalahan yang dianalisis.</t>
  </si>
  <si>
    <r>
      <t>Kesimpulan:</t>
    </r>
    <r>
      <rPr>
        <sz val="12"/>
        <color theme="1"/>
        <rFont val="Times New Roman"/>
        <family val="1"/>
      </rPr>
      <t xml:space="preserve"> Berdasarkan hasil perhitungan, setiap metode turunan numerik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</si>
</sst>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Grafik Fungsi f(x)</a:t>
            </a:r>
            <a:endParaRPr lang="en-US"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</c:numCache>
            </c:numRef>
          </c:xVal>
          <c:yVal>
            <c:numRef>
              <c:f>Sheet1!$B$2:$B$6</c:f>
              <c:numCache>
                <c:formatCode>0.0000000</c:formatCode>
                <c:ptCount val="5"/>
                <c:pt idx="0" formatCode="General">
                  <c:v>0.97986519999999999</c:v>
                </c:pt>
                <c:pt idx="1">
                  <c:v>0.917771</c:v>
                </c:pt>
                <c:pt idx="2">
                  <c:v>0.80803800000000003</c:v>
                </c:pt>
                <c:pt idx="3" formatCode="General">
                  <c:v>0.63860930000000005</c:v>
                </c:pt>
                <c:pt idx="4" formatCode="General">
                  <c:v>0.38437349999999998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8-46BC-9CFC-AC290AC74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162783"/>
        <c:axId val="1842161823"/>
      </c:scatterChart>
      <c:valAx>
        <c:axId val="184216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2161823"/>
        <c:crosses val="autoZero"/>
        <c:crossBetween val="midCat"/>
      </c:valAx>
      <c:valAx>
        <c:axId val="184216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216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9</xdr:row>
      <xdr:rowOff>31749</xdr:rowOff>
    </xdr:from>
    <xdr:to>
      <xdr:col>0</xdr:col>
      <xdr:colOff>1282700</xdr:colOff>
      <xdr:row>10</xdr:row>
      <xdr:rowOff>172122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7D42C-C4FE-44EB-AAE5-23DB9CBB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790699"/>
          <a:ext cx="1244600" cy="324523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</xdr:row>
      <xdr:rowOff>44450</xdr:rowOff>
    </xdr:from>
    <xdr:to>
      <xdr:col>0</xdr:col>
      <xdr:colOff>1244600</xdr:colOff>
      <xdr:row>13</xdr:row>
      <xdr:rowOff>174903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3EA1F0-8C31-4495-91F0-9A6DF5D1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368550"/>
          <a:ext cx="1231900" cy="31460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15</xdr:row>
      <xdr:rowOff>6350</xdr:rowOff>
    </xdr:from>
    <xdr:to>
      <xdr:col>0</xdr:col>
      <xdr:colOff>1174750</xdr:colOff>
      <xdr:row>16</xdr:row>
      <xdr:rowOff>160074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2EE29D-14FA-4831-BAC7-41C8ADDA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95600"/>
          <a:ext cx="1136650" cy="3378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50800</xdr:rowOff>
    </xdr:from>
    <xdr:to>
      <xdr:col>0</xdr:col>
      <xdr:colOff>1291423</xdr:colOff>
      <xdr:row>19</xdr:row>
      <xdr:rowOff>158749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BEC073-AD96-4C7B-AB38-86E69C128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05200"/>
          <a:ext cx="1291423" cy="29209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21</xdr:row>
      <xdr:rowOff>25401</xdr:rowOff>
    </xdr:from>
    <xdr:to>
      <xdr:col>0</xdr:col>
      <xdr:colOff>1244601</xdr:colOff>
      <xdr:row>23</xdr:row>
      <xdr:rowOff>2612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38A196-AAF5-4454-B4F6-C0463F487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4044951"/>
          <a:ext cx="1206500" cy="3455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25400</xdr:rowOff>
    </xdr:from>
    <xdr:to>
      <xdr:col>0</xdr:col>
      <xdr:colOff>1238250</xdr:colOff>
      <xdr:row>25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15604E-5FA3-47A5-9E73-91139DE78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10100"/>
          <a:ext cx="1238250" cy="3111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12701</xdr:colOff>
      <xdr:row>27</xdr:row>
      <xdr:rowOff>19051</xdr:rowOff>
    </xdr:from>
    <xdr:to>
      <xdr:col>0</xdr:col>
      <xdr:colOff>1263651</xdr:colOff>
      <xdr:row>28</xdr:row>
      <xdr:rowOff>161235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A9B741-6015-4ECC-8A4A-845A0B102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" y="5168901"/>
          <a:ext cx="1250950" cy="326334"/>
        </a:xfrm>
        <a:prstGeom prst="rect">
          <a:avLst/>
        </a:prstGeom>
      </xdr:spPr>
    </xdr:pic>
    <xdr:clientData/>
  </xdr:twoCellAnchor>
  <xdr:twoCellAnchor>
    <xdr:from>
      <xdr:col>0</xdr:col>
      <xdr:colOff>15874</xdr:colOff>
      <xdr:row>50</xdr:row>
      <xdr:rowOff>34924</xdr:rowOff>
    </xdr:from>
    <xdr:to>
      <xdr:col>5</xdr:col>
      <xdr:colOff>609599</xdr:colOff>
      <xdr:row>67</xdr:row>
      <xdr:rowOff>6349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DD6D0D-63F4-974B-F3CC-4AADB04D8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8D4F-3CF1-436C-884C-C22210CC946E}">
  <dimension ref="A1:C73"/>
  <sheetViews>
    <sheetView tabSelected="1" topLeftCell="A39" workbookViewId="0">
      <selection activeCell="N39" sqref="N39"/>
    </sheetView>
  </sheetViews>
  <sheetFormatPr defaultRowHeight="14.5" x14ac:dyDescent="0.35"/>
  <cols>
    <col min="1" max="1" width="18.81640625" bestFit="1" customWidth="1"/>
    <col min="2" max="2" width="15.6328125" bestFit="1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2">
        <v>0.2</v>
      </c>
      <c r="B2" s="2">
        <v>0.97986519999999999</v>
      </c>
      <c r="C2" s="2" t="s">
        <v>3</v>
      </c>
    </row>
    <row r="3" spans="1:3" ht="15.5" x14ac:dyDescent="0.35">
      <c r="A3" s="2">
        <v>0.4</v>
      </c>
      <c r="B3" s="3">
        <v>0.917771</v>
      </c>
      <c r="C3" s="2" t="s">
        <v>4</v>
      </c>
    </row>
    <row r="4" spans="1:3" ht="15.5" x14ac:dyDescent="0.35">
      <c r="A4" s="2">
        <v>0.6</v>
      </c>
      <c r="B4" s="3">
        <v>0.80803800000000003</v>
      </c>
      <c r="C4" s="2" t="s">
        <v>5</v>
      </c>
    </row>
    <row r="5" spans="1:3" ht="15.5" x14ac:dyDescent="0.35">
      <c r="A5" s="2">
        <v>0.8</v>
      </c>
      <c r="B5" s="2">
        <v>0.63860930000000005</v>
      </c>
      <c r="C5" s="2" t="s">
        <v>6</v>
      </c>
    </row>
    <row r="6" spans="1:3" ht="15.5" x14ac:dyDescent="0.35">
      <c r="A6" s="2">
        <v>1</v>
      </c>
      <c r="B6" s="2">
        <v>0.38437349999999998</v>
      </c>
      <c r="C6" s="2" t="s">
        <v>7</v>
      </c>
    </row>
    <row r="8" spans="1:3" ht="15.5" x14ac:dyDescent="0.35">
      <c r="A8" s="4" t="s">
        <v>8</v>
      </c>
      <c r="B8" s="5" t="s">
        <v>9</v>
      </c>
    </row>
    <row r="9" spans="1:3" ht="15.5" x14ac:dyDescent="0.35">
      <c r="A9" s="6" t="s">
        <v>10</v>
      </c>
    </row>
    <row r="10" spans="1:3" x14ac:dyDescent="0.35">
      <c r="B10" s="7">
        <f>(B4-B3)/0.2</f>
        <v>-0.54866499999999985</v>
      </c>
    </row>
    <row r="11" spans="1:3" x14ac:dyDescent="0.35">
      <c r="B11" s="7"/>
    </row>
    <row r="12" spans="1:3" ht="15.5" x14ac:dyDescent="0.35">
      <c r="A12" s="6" t="s">
        <v>11</v>
      </c>
      <c r="B12" s="7"/>
    </row>
    <row r="13" spans="1:3" x14ac:dyDescent="0.35">
      <c r="B13" s="7">
        <f>(B3-B2)/0.2</f>
        <v>-0.31047099999999994</v>
      </c>
    </row>
    <row r="14" spans="1:3" x14ac:dyDescent="0.35">
      <c r="B14" s="7"/>
    </row>
    <row r="15" spans="1:3" ht="15.5" x14ac:dyDescent="0.35">
      <c r="A15" s="6" t="s">
        <v>12</v>
      </c>
      <c r="B15" s="7"/>
    </row>
    <row r="16" spans="1:3" x14ac:dyDescent="0.35">
      <c r="B16" s="7">
        <f>(B4-B2)/(2*0.2)</f>
        <v>-0.42956799999999989</v>
      </c>
    </row>
    <row r="18" spans="1:2" ht="15.5" x14ac:dyDescent="0.35">
      <c r="A18" s="6" t="s">
        <v>13</v>
      </c>
    </row>
    <row r="19" spans="1:2" x14ac:dyDescent="0.35">
      <c r="B19" s="7">
        <f>(-3*B3+4*B4-B5)/(2*0.2)</f>
        <v>-0.39942574999999952</v>
      </c>
    </row>
    <row r="21" spans="1:2" ht="15.5" x14ac:dyDescent="0.35">
      <c r="A21" s="6" t="s">
        <v>12</v>
      </c>
    </row>
    <row r="22" spans="1:2" x14ac:dyDescent="0.35">
      <c r="B22" s="7">
        <f>(B4-2*B3+B2)/(0.2^2)</f>
        <v>-1.1909699999999992</v>
      </c>
    </row>
    <row r="24" spans="1:2" ht="15.5" x14ac:dyDescent="0.35">
      <c r="A24" s="6" t="s">
        <v>10</v>
      </c>
    </row>
    <row r="25" spans="1:2" x14ac:dyDescent="0.35">
      <c r="B25" s="7">
        <f>(B5-2*B4+B3)/(0.2^2)</f>
        <v>-1.4923925000000002</v>
      </c>
    </row>
    <row r="27" spans="1:2" ht="15.5" x14ac:dyDescent="0.35">
      <c r="A27" s="6" t="s">
        <v>13</v>
      </c>
    </row>
    <row r="28" spans="1:2" x14ac:dyDescent="0.35">
      <c r="B28" s="7">
        <f>(-B6+4*B5-5*B4+2*B3)/(12*0.2)</f>
        <v>-1.4410124999999956E-2</v>
      </c>
    </row>
    <row r="69" spans="1:1" ht="15.5" x14ac:dyDescent="0.35">
      <c r="A69" s="8" t="s">
        <v>18</v>
      </c>
    </row>
    <row r="70" spans="1:1" ht="15.5" x14ac:dyDescent="0.35">
      <c r="A70" s="6" t="s">
        <v>14</v>
      </c>
    </row>
    <row r="71" spans="1:1" ht="15.5" x14ac:dyDescent="0.35">
      <c r="A71" s="6" t="s">
        <v>15</v>
      </c>
    </row>
    <row r="72" spans="1:1" ht="15.5" x14ac:dyDescent="0.35">
      <c r="A72" s="6" t="s">
        <v>16</v>
      </c>
    </row>
    <row r="73" spans="1:1" ht="15.5" x14ac:dyDescent="0.35">
      <c r="A73" s="6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2026-06-26T16:32:11Z</dcterms:created>
  <dcterms:modified xsi:type="dcterms:W3CDTF">2026-06-27T04:12:29Z</dcterms:modified>
</cp:coreProperties>
</file>